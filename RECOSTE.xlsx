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62" customWidth="1" min="12" max="12"/>
    <col width="52" customWidth="1" min="13" max="13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  <c r="M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8" t="inlineStr">
        <is>
          <t>Gregario</t>
        </is>
      </c>
      <c r="L6" s="9" t="inlineStr">
        <is>
          <t>+1 de Ataque por cada otro Dryosaurus propio en el campo.</t>
        </is>
      </c>
      <c r="M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1</v>
      </c>
      <c r="I7" s="7" t="n">
        <v>1</v>
      </c>
      <c r="J7" s="7" t="n">
        <v>1</v>
      </c>
      <c r="K7" s="8" t="inlineStr">
        <is>
          <t>Oportunista</t>
        </is>
      </c>
      <c r="L7" s="9" t="inlineStr">
        <is>
          <t>+1 Vida permanente cada vez que muere un dinosaurio en el campo.</t>
        </is>
      </c>
      <c r="M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0</v>
      </c>
      <c r="J8" s="7" t="n">
        <v>3</v>
      </c>
      <c r="K8" s="8" t="inlineStr">
        <is>
          <t>Caza en grupo</t>
        </is>
      </c>
      <c r="L8" s="9" t="inlineStr">
        <is>
          <t>+2 de Ataque si hay tres Ceratosaurus tuyos en el campo.</t>
        </is>
      </c>
      <c r="M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4</v>
      </c>
      <c r="J9" s="7" t="n">
        <v>5</v>
      </c>
      <c r="K9" s="8" t="inlineStr">
        <is>
          <t>Muro de placas</t>
        </is>
      </c>
      <c r="L9" s="9" t="inlineStr">
        <is>
          <t>+1 de Defensa si tienes otro Stegosaurus en el campo.</t>
        </is>
      </c>
      <c r="M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2</v>
      </c>
      <c r="J10" s="7" t="n">
        <v>3</v>
      </c>
      <c r="K10" s="8" t="inlineStr">
        <is>
          <t>Depredador dominante</t>
        </is>
      </c>
      <c r="L10" s="9" t="inlineStr">
        <is>
          <t>Si mata a su rival, el daño sobrante pasa al hábitat enemigo.</t>
        </is>
      </c>
      <c r="M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3</v>
      </c>
      <c r="J11" s="7" t="n">
        <v>4</v>
      </c>
      <c r="K11" s="8" t="inlineStr">
        <is>
          <t>Migrador</t>
        </is>
      </c>
      <c r="L11" s="9" t="inlineStr">
        <is>
          <t>Al jugarla, busca un evento en tu mazo y llévatelo a la mano.</t>
        </is>
      </c>
      <c r="M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3</v>
      </c>
      <c r="J12" s="7" t="n">
        <v>10</v>
      </c>
      <c r="K12" s="8" t="inlineStr">
        <is>
          <t>Ramoneo bajo</t>
        </is>
      </c>
      <c r="L12" s="9" t="inlineStr">
        <is>
          <t>Recupera +1 de vida al final de cada uno de tus turnos</t>
        </is>
      </c>
      <c r="M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5</v>
      </c>
      <c r="J13" s="7" t="n">
        <v>10</v>
      </c>
      <c r="K13" s="8" t="inlineStr">
        <is>
          <t>Manada</t>
        </is>
      </c>
      <c r="L13" s="9" t="inlineStr">
        <is>
          <t>+1 de Defensa si tienes otro saurópodo en el campo.</t>
        </is>
      </c>
      <c r="M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1</v>
      </c>
      <c r="J14" s="7" t="n">
        <v>5</v>
      </c>
      <c r="K14" s="8" t="inlineStr">
        <is>
          <t>Rastreador</t>
        </is>
      </c>
      <c r="L14" s="9" t="inlineStr">
        <is>
          <t>Al jugarla, busca un clima en tu mazo y llévatelo a la mano.</t>
        </is>
      </c>
      <c r="M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3</v>
      </c>
      <c r="J15" s="7" t="n">
        <v>5</v>
      </c>
      <c r="K15" s="8" t="inlineStr">
        <is>
          <t>Llamada de manada</t>
        </is>
      </c>
      <c r="L15" s="9" t="inlineStr">
        <is>
          <t>Al jugarla, busca un Gregarismo en tu mazo y llévatelo a la mano.</t>
        </is>
      </c>
      <c r="M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1</v>
      </c>
      <c r="J16" s="7" t="n">
        <v>4</v>
      </c>
      <c r="K16" s="8" t="inlineStr">
        <is>
          <t>Ribereño</t>
        </is>
      </c>
      <c r="L16" s="9" t="inlineStr">
        <is>
          <t>+2 de ataque mientras el Canal fluvial esté en el campo.</t>
        </is>
      </c>
      <c r="M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1</v>
      </c>
      <c r="J17" s="7" t="n">
        <v>7</v>
      </c>
      <c r="K17" s="8" t="inlineStr">
        <is>
          <t>Gola ornamentada</t>
        </is>
      </c>
      <c r="L17" s="9" t="inlineStr">
        <is>
          <t>+2 de Defensa si tienes otro Lokiceratops en el campo.</t>
        </is>
      </c>
      <c r="M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1</v>
      </c>
      <c r="J18" s="7" t="n">
        <v>6</v>
      </c>
      <c r="K18" s="8" t="inlineStr">
        <is>
          <t>Gregario</t>
        </is>
      </c>
      <c r="L18" s="9" t="inlineStr">
        <is>
          <t>+1 Poder por cada copia suya que tengas en el campo.</t>
        </is>
      </c>
      <c r="M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1</v>
      </c>
      <c r="J19" s="7" t="n">
        <v>5</v>
      </c>
      <c r="K19" s="8" t="inlineStr">
        <is>
          <t>Desgarro</t>
        </is>
      </c>
      <c r="L19" s="9" t="inlineStr">
        <is>
          <t>A quien hiere no se le cura ninguna herida ese turno.</t>
        </is>
      </c>
      <c r="M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2</v>
      </c>
      <c r="J20" s="7" t="n">
        <v>2</v>
      </c>
      <c r="K20" s="8" t="inlineStr">
        <is>
          <t>Vuelo</t>
        </is>
      </c>
      <c r="L20" s="9" t="inlineStr">
        <is>
          <t>Sobrevuela la ranura: golpea siempre al hábitat rival, pero quien tenga enfrente le alcanza igual.</t>
        </is>
      </c>
      <c r="M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8" t="inlineStr">
        <is>
          <t>Gregarismo</t>
        </is>
      </c>
      <c r="L21" s="9" t="inlineStr">
        <is>
          <t>+1 de Ataque a todos tus dinosaurios de la misma especie que el objetivo.</t>
        </is>
      </c>
      <c r="M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8" t="inlineStr">
        <is>
          <t>Gastrolitos</t>
        </is>
      </c>
      <c r="L22" s="9" t="inlineStr">
        <is>
          <t>Cura +1 de vida a un dinosaurio al final del turno</t>
        </is>
      </c>
      <c r="M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8" t="inlineStr">
        <is>
          <t>Crecimiento acelerado</t>
        </is>
      </c>
      <c r="L23" s="9" t="inlineStr">
        <is>
          <t>+2 Poder y +2 Vida permanentes a un dinosaurio que elijas.</t>
        </is>
      </c>
      <c r="M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2</v>
      </c>
      <c r="F24" s="7" t="n">
        <v>2</v>
      </c>
      <c r="G24" s="6">
        <f>IF(F24="","",F24-E24)</f>
        <v/>
      </c>
      <c r="H24" s="6" t="n"/>
      <c r="I24" s="6" t="n"/>
      <c r="J24" s="6" t="n"/>
      <c r="K24" s="8" t="inlineStr">
        <is>
          <t>Neumaticidad ósea</t>
        </is>
      </c>
      <c r="L24" s="9" t="inlineStr">
        <is>
          <t>+2 de Ataque permanentes. Sólo sobre terópodos y saurópodos.</t>
        </is>
      </c>
      <c r="M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6" t="n"/>
      <c r="K25" s="8" t="inlineStr">
        <is>
          <t>Fractura consolidada</t>
        </is>
      </c>
      <c r="L25" s="9" t="inlineStr">
        <is>
          <t>−2 Poder permanente a un dinosaurio rival.</t>
        </is>
      </c>
      <c r="M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6" t="n"/>
      <c r="K26" s="8" t="inlineStr">
        <is>
          <t>Competencia trófica</t>
        </is>
      </c>
      <c r="L26" s="9" t="inlineStr">
        <is>
          <t>−2 de Defensa a dos dinosaurios rivales que elijas.</t>
        </is>
      </c>
      <c r="M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8" t="inlineStr">
        <is>
          <t>Trampa de depredadores</t>
        </is>
      </c>
      <c r="L27" s="9" t="inlineStr">
        <is>
          <t>El rival pierde 5 cartas de su mazo. Tú pierdes 3: el fango no distingue.</t>
        </is>
      </c>
      <c r="M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8" t="inlineStr">
        <is>
          <t>Mortandad estacional</t>
        </is>
      </c>
      <c r="L28" s="9" t="inlineStr">
        <is>
          <t>3 de daño a TODOS los dinosaurios del campo, incluidos los tuyos.</t>
        </is>
      </c>
      <c r="M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8" t="inlineStr">
        <is>
          <t>Rebrote tras incendio</t>
        </is>
      </c>
      <c r="L29" s="9" t="inlineStr">
        <is>
          <t>+2 Biomasa ahora mismo. Todos tus dinosaurios reciben 1 herida.</t>
        </is>
      </c>
      <c r="M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8" t="inlineStr">
        <is>
          <t>Carroña abundante</t>
        </is>
      </c>
      <c r="L30" s="9" t="inlineStr">
        <is>
          <t>+3 Biomasa ahora mismo. El rival gana 1 Biomasa.</t>
        </is>
      </c>
      <c r="M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8" t="inlineStr">
        <is>
          <t>Lago efímero</t>
        </is>
      </c>
      <c r="L31" s="9" t="inlineStr">
        <is>
          <t>+2 Biomasa ahora mismo. Tu hábitat pierde 2 puntos.</t>
        </is>
      </c>
      <c r="M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8" t="inlineStr">
        <is>
          <t>Llanura de inundación</t>
        </is>
      </c>
      <c r="L32" s="9" t="inlineStr">
        <is>
          <t>+1 Biomasa para ambos jugadores</t>
        </is>
      </c>
      <c r="M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8" t="inlineStr">
        <is>
          <t>Canal fluvial trenzado</t>
        </is>
      </c>
      <c r="L33" s="9" t="inlineStr">
        <is>
          <t>Agua permanente en el campo: los ribereños pelean a gusto.</t>
        </is>
      </c>
      <c r="M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8" t="inlineStr">
        <is>
          <t>Bosque de coníferas ribereño</t>
        </is>
      </c>
      <c r="L34" s="9" t="inlineStr">
        <is>
          <t>Los saurópodos curan 1 herida al final de cada turno.</t>
        </is>
      </c>
      <c r="M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8" t="inlineStr">
        <is>
          <t>Deriva árida</t>
        </is>
      </c>
      <c r="L35" s="9" t="inlineStr">
        <is>
          <t>Ambos jugadores pierden 5 cartas del mazo</t>
        </is>
      </c>
      <c r="M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8" t="inlineStr">
        <is>
          <t>Sabana de helechos</t>
        </is>
      </c>
      <c r="L36" s="9" t="inlineStr">
        <is>
          <t>Terreno abierto, sin cobertura: +1 al daño contra los biomas.</t>
        </is>
      </c>
      <c r="M36" s="9" t="inlineStr"/>
    </row>
    <row r="37" ht="30" customHeight="1">
      <c r="A37" s="4" t="inlineStr">
        <is>
          <t>plesiopleurodon</t>
        </is>
      </c>
      <c r="B37" s="4" t="inlineStr">
        <is>
          <t>Plesiopleurodon wellesi</t>
        </is>
      </c>
      <c r="C37" s="4" t="inlineStr">
        <is>
          <t>Reptil marino</t>
        </is>
      </c>
      <c r="D37" s="5" t="inlineStr">
        <is>
          <t>Común</t>
        </is>
      </c>
      <c r="E37" s="6" t="n">
        <v>1</v>
      </c>
      <c r="F37" s="7" t="n">
        <v>1</v>
      </c>
      <c r="G37" s="6">
        <f>IF(F37="","",F37-E37)</f>
        <v/>
      </c>
      <c r="H37" s="7" t="n">
        <v>1</v>
      </c>
      <c r="I37" s="7" t="n">
        <v>1</v>
      </c>
      <c r="J37" s="7" t="n">
        <v>1</v>
      </c>
      <c r="K37" s="8" t="inlineStr">
        <is>
          <t>Sin rasgo</t>
        </is>
      </c>
      <c r="L37" s="9" t="inlineStr">
        <is>
          <t>Todavía no hace nada especial.</t>
        </is>
      </c>
      <c r="M37" s="9" t="inlineStr"/>
    </row>
    <row r="38" ht="30" customHeight="1">
      <c r="A38" s="4" t="inlineStr">
        <is>
          <t>ojoraptorsaurus</t>
        </is>
      </c>
      <c r="B38" s="4" t="inlineStr">
        <is>
          <t>Ojoraptorsaurus boerei</t>
        </is>
      </c>
      <c r="C38" s="4" t="inlineStr">
        <is>
          <t>Terópodo</t>
        </is>
      </c>
      <c r="D38" s="5" t="inlineStr">
        <is>
          <t>Común</t>
        </is>
      </c>
      <c r="E38" s="6" t="n">
        <v>1</v>
      </c>
      <c r="F38" s="7" t="n">
        <v>1</v>
      </c>
      <c r="G38" s="6">
        <f>IF(F38="","",F38-E38)</f>
        <v/>
      </c>
      <c r="H38" s="7" t="n">
        <v>1</v>
      </c>
      <c r="I38" s="7" t="n">
        <v>1</v>
      </c>
      <c r="J38" s="7" t="n">
        <v>1</v>
      </c>
      <c r="K38" s="8" t="inlineStr">
        <is>
          <t>Sin rasgo</t>
        </is>
      </c>
      <c r="L38" s="9" t="inlineStr">
        <is>
          <t>Todavía no hace nada especial.</t>
        </is>
      </c>
      <c r="M38" s="9" t="inlineStr"/>
    </row>
    <row r="39" ht="30" customHeight="1">
      <c r="A39" s="4" t="inlineStr">
        <is>
          <t>dromaeosaurus</t>
        </is>
      </c>
      <c r="B39" s="4" t="inlineStr">
        <is>
          <t>Dromaeosaurus albertensis</t>
        </is>
      </c>
      <c r="C39" s="4" t="inlineStr">
        <is>
          <t>Terópodo</t>
        </is>
      </c>
      <c r="D39" s="5" t="inlineStr">
        <is>
          <t>Común</t>
        </is>
      </c>
      <c r="E39" s="6" t="n">
        <v>1</v>
      </c>
      <c r="F39" s="7" t="n">
        <v>1</v>
      </c>
      <c r="G39" s="6">
        <f>IF(F39="","",F39-E39)</f>
        <v/>
      </c>
      <c r="H39" s="7" t="n">
        <v>1</v>
      </c>
      <c r="I39" s="7" t="n">
        <v>1</v>
      </c>
      <c r="J39" s="7" t="n">
        <v>1</v>
      </c>
      <c r="K39" s="8" t="inlineStr">
        <is>
          <t>Sin rasgo</t>
        </is>
      </c>
      <c r="L39" s="9" t="inlineStr">
        <is>
          <t>Todavía no hace nada especial.</t>
        </is>
      </c>
      <c r="M39" s="9" t="inlineStr"/>
    </row>
    <row r="40" ht="30" customHeight="1">
      <c r="A40" s="4" t="inlineStr">
        <is>
          <t>athenar</t>
        </is>
      </c>
      <c r="B40" s="4" t="inlineStr">
        <is>
          <t>Athenar</t>
        </is>
      </c>
      <c r="C40" s="4" t="inlineStr">
        <is>
          <t>Terópodo</t>
        </is>
      </c>
      <c r="D40" s="5" t="inlineStr">
        <is>
          <t>Común</t>
        </is>
      </c>
      <c r="E40" s="6" t="n">
        <v>1</v>
      </c>
      <c r="F40" s="7" t="n">
        <v>1</v>
      </c>
      <c r="G40" s="6">
        <f>IF(F40="","",F40-E40)</f>
        <v/>
      </c>
      <c r="H40" s="7" t="n">
        <v>1</v>
      </c>
      <c r="I40" s="7" t="n">
        <v>1</v>
      </c>
      <c r="J40" s="7" t="n">
        <v>1</v>
      </c>
      <c r="K40" s="8" t="inlineStr">
        <is>
          <t>Sin rasgo</t>
        </is>
      </c>
      <c r="L40" s="9" t="inlineStr">
        <is>
          <t>Todavía no hace nada especial.</t>
        </is>
      </c>
      <c r="M40" s="9" t="inlineStr"/>
    </row>
    <row r="41" ht="30" customHeight="1">
      <c r="A41" s="4" t="inlineStr">
        <is>
          <t>sanjuansaurus</t>
        </is>
      </c>
      <c r="B41" s="4" t="inlineStr">
        <is>
          <t>Sanjuansaurus gordilloi</t>
        </is>
      </c>
      <c r="C41" s="4" t="inlineStr">
        <is>
          <t>Terópodo</t>
        </is>
      </c>
      <c r="D41" s="5" t="inlineStr">
        <is>
          <t>Común</t>
        </is>
      </c>
      <c r="E41" s="6" t="n">
        <v>1</v>
      </c>
      <c r="F41" s="7" t="n">
        <v>1</v>
      </c>
      <c r="G41" s="6">
        <f>IF(F41="","",F41-E41)</f>
        <v/>
      </c>
      <c r="H41" s="7" t="n">
        <v>1</v>
      </c>
      <c r="I41" s="7" t="n">
        <v>1</v>
      </c>
      <c r="J41" s="7" t="n">
        <v>1</v>
      </c>
      <c r="K41" s="8" t="inlineStr">
        <is>
          <t>Sin rasgo</t>
        </is>
      </c>
      <c r="L41" s="9" t="inlineStr">
        <is>
          <t>Todavía no hace nada especial.</t>
        </is>
      </c>
      <c r="M41" s="9" t="inlineStr"/>
    </row>
    <row r="42" ht="30" customHeight="1">
      <c r="A42" s="4" t="inlineStr">
        <is>
          <t>suchomimus</t>
        </is>
      </c>
      <c r="B42" s="4" t="inlineStr">
        <is>
          <t>Suchomimus tenerensis</t>
        </is>
      </c>
      <c r="C42" s="4" t="inlineStr">
        <is>
          <t>Terópodo</t>
        </is>
      </c>
      <c r="D42" s="5" t="inlineStr">
        <is>
          <t>Común</t>
        </is>
      </c>
      <c r="E42" s="6" t="n">
        <v>1</v>
      </c>
      <c r="F42" s="7" t="n">
        <v>1</v>
      </c>
      <c r="G42" s="6">
        <f>IF(F42="","",F42-E42)</f>
        <v/>
      </c>
      <c r="H42" s="7" t="n">
        <v>1</v>
      </c>
      <c r="I42" s="7" t="n">
        <v>1</v>
      </c>
      <c r="J42" s="7" t="n">
        <v>1</v>
      </c>
      <c r="K42" s="8" t="inlineStr">
        <is>
          <t>Sin rasgo</t>
        </is>
      </c>
      <c r="L42" s="9" t="inlineStr">
        <is>
          <t>Todavía no hace nada especial.</t>
        </is>
      </c>
      <c r="M42" s="9" t="inlineStr"/>
    </row>
    <row r="43" ht="30" customHeight="1">
      <c r="A43" s="4" t="inlineStr">
        <is>
          <t>eosinopteryx</t>
        </is>
      </c>
      <c r="B43" s="4" t="inlineStr">
        <is>
          <t>Eosinopteryx brevipenna</t>
        </is>
      </c>
      <c r="C43" s="4" t="inlineStr">
        <is>
          <t>Terópodo</t>
        </is>
      </c>
      <c r="D43" s="5" t="inlineStr">
        <is>
          <t>Común</t>
        </is>
      </c>
      <c r="E43" s="6" t="n">
        <v>1</v>
      </c>
      <c r="F43" s="7" t="n">
        <v>1</v>
      </c>
      <c r="G43" s="6">
        <f>IF(F43="","",F43-E43)</f>
        <v/>
      </c>
      <c r="H43" s="7" t="n">
        <v>1</v>
      </c>
      <c r="I43" s="7" t="n">
        <v>1</v>
      </c>
      <c r="J43" s="7" t="n">
        <v>1</v>
      </c>
      <c r="K43" s="8" t="inlineStr">
        <is>
          <t>Sin rasgo</t>
        </is>
      </c>
      <c r="L43" s="9" t="inlineStr">
        <is>
          <t>Todavía no hace nada especial.</t>
        </is>
      </c>
      <c r="M43" s="9" t="inlineStr"/>
    </row>
    <row r="44" ht="30" customHeight="1">
      <c r="A44" s="4" t="inlineStr">
        <is>
          <t>troodon</t>
        </is>
      </c>
      <c r="B44" s="4" t="inlineStr">
        <is>
          <t>Troodon formosus</t>
        </is>
      </c>
      <c r="C44" s="4" t="inlineStr">
        <is>
          <t>Terópodo</t>
        </is>
      </c>
      <c r="D44" s="5" t="inlineStr">
        <is>
          <t>Común</t>
        </is>
      </c>
      <c r="E44" s="6" t="n">
        <v>1</v>
      </c>
      <c r="F44" s="7" t="n">
        <v>1</v>
      </c>
      <c r="G44" s="6">
        <f>IF(F44="","",F44-E44)</f>
        <v/>
      </c>
      <c r="H44" s="7" t="n">
        <v>1</v>
      </c>
      <c r="I44" s="7" t="n">
        <v>1</v>
      </c>
      <c r="J44" s="7" t="n">
        <v>1</v>
      </c>
      <c r="K44" s="8" t="inlineStr">
        <is>
          <t>Sin rasgo</t>
        </is>
      </c>
      <c r="L44" s="9" t="inlineStr">
        <is>
          <t>Todavía no hace nada especial.</t>
        </is>
      </c>
      <c r="M44" s="9" t="inlineStr"/>
    </row>
    <row r="45" ht="30" customHeight="1">
      <c r="A45" s="4" t="inlineStr">
        <is>
          <t>carnotaurus</t>
        </is>
      </c>
      <c r="B45" s="4" t="inlineStr">
        <is>
          <t>Carnotaurus sastrei</t>
        </is>
      </c>
      <c r="C45" s="4" t="inlineStr">
        <is>
          <t>Terópodo</t>
        </is>
      </c>
      <c r="D45" s="5" t="inlineStr">
        <is>
          <t>Común</t>
        </is>
      </c>
      <c r="E45" s="6" t="n">
        <v>1</v>
      </c>
      <c r="F45" s="7" t="n">
        <v>1</v>
      </c>
      <c r="G45" s="6">
        <f>IF(F45="","",F45-E45)</f>
        <v/>
      </c>
      <c r="H45" s="7" t="n">
        <v>1</v>
      </c>
      <c r="I45" s="7" t="n">
        <v>1</v>
      </c>
      <c r="J45" s="7" t="n">
        <v>1</v>
      </c>
      <c r="K45" s="8" t="inlineStr">
        <is>
          <t>Sin rasgo</t>
        </is>
      </c>
      <c r="L45" s="9" t="inlineStr">
        <is>
          <t>Todavía no hace nada especial.</t>
        </is>
      </c>
      <c r="M45" s="9" t="inlineStr"/>
    </row>
    <row r="46" ht="30" customHeight="1">
      <c r="A46" s="4" t="inlineStr">
        <is>
          <t>spinosaurus</t>
        </is>
      </c>
      <c r="B46" s="4" t="inlineStr">
        <is>
          <t>Spinosaurus aegyptiacus</t>
        </is>
      </c>
      <c r="C46" s="4" t="inlineStr">
        <is>
          <t>Terópodo</t>
        </is>
      </c>
      <c r="D46" s="5" t="inlineStr">
        <is>
          <t>Común</t>
        </is>
      </c>
      <c r="E46" s="6" t="n">
        <v>1</v>
      </c>
      <c r="F46" s="7" t="n">
        <v>1</v>
      </c>
      <c r="G46" s="6">
        <f>IF(F46="","",F46-E46)</f>
        <v/>
      </c>
      <c r="H46" s="7" t="n">
        <v>1</v>
      </c>
      <c r="I46" s="7" t="n">
        <v>1</v>
      </c>
      <c r="J46" s="7" t="n">
        <v>1</v>
      </c>
      <c r="K46" s="8" t="inlineStr">
        <is>
          <t>Sin rasgo</t>
        </is>
      </c>
      <c r="L46" s="9" t="inlineStr">
        <is>
          <t>Todavía no hace nada especial.</t>
        </is>
      </c>
      <c r="M46" s="9" t="inlineStr"/>
    </row>
    <row r="47" ht="30" customHeight="1">
      <c r="A47" s="4" t="inlineStr">
        <is>
          <t>mosasaurus</t>
        </is>
      </c>
      <c r="B47" s="4" t="inlineStr">
        <is>
          <t>Mosasaurus hoffmannii</t>
        </is>
      </c>
      <c r="C47" s="4" t="inlineStr">
        <is>
          <t>Reptil marino</t>
        </is>
      </c>
      <c r="D47" s="5" t="inlineStr">
        <is>
          <t>Común</t>
        </is>
      </c>
      <c r="E47" s="6" t="n">
        <v>1</v>
      </c>
      <c r="F47" s="7" t="n">
        <v>1</v>
      </c>
      <c r="G47" s="6">
        <f>IF(F47="","",F47-E47)</f>
        <v/>
      </c>
      <c r="H47" s="7" t="n">
        <v>1</v>
      </c>
      <c r="I47" s="7" t="n">
        <v>1</v>
      </c>
      <c r="J47" s="7" t="n">
        <v>1</v>
      </c>
      <c r="K47" s="8" t="inlineStr">
        <is>
          <t>Sin rasgo</t>
        </is>
      </c>
      <c r="L47" s="9" t="inlineStr">
        <is>
          <t>Todavía no hace nada especial.</t>
        </is>
      </c>
      <c r="M47" s="9" t="inlineStr"/>
    </row>
    <row r="48" ht="30" customHeight="1">
      <c r="A48" s="4" t="inlineStr">
        <is>
          <t>halszkaraptor</t>
        </is>
      </c>
      <c r="B48" s="4" t="inlineStr">
        <is>
          <t>Halszkaraptor escuilliei</t>
        </is>
      </c>
      <c r="C48" s="4" t="inlineStr">
        <is>
          <t>Terópodo</t>
        </is>
      </c>
      <c r="D48" s="5" t="inlineStr">
        <is>
          <t>Común</t>
        </is>
      </c>
      <c r="E48" s="6" t="n">
        <v>1</v>
      </c>
      <c r="F48" s="7" t="n">
        <v>1</v>
      </c>
      <c r="G48" s="6">
        <f>IF(F48="","",F48-E48)</f>
        <v/>
      </c>
      <c r="H48" s="7" t="n">
        <v>1</v>
      </c>
      <c r="I48" s="7" t="n">
        <v>1</v>
      </c>
      <c r="J48" s="7" t="n">
        <v>1</v>
      </c>
      <c r="K48" s="8" t="inlineStr">
        <is>
          <t>Sin rasgo</t>
        </is>
      </c>
      <c r="L48" s="9" t="inlineStr">
        <is>
          <t>Todavía no hace nada especial.</t>
        </is>
      </c>
      <c r="M48" s="9" t="inlineStr"/>
    </row>
    <row r="49" ht="30" customHeight="1">
      <c r="A49" s="4" t="inlineStr">
        <is>
          <t>tongtianlong</t>
        </is>
      </c>
      <c r="B49" s="4" t="inlineStr">
        <is>
          <t>Tongtianlong limosus</t>
        </is>
      </c>
      <c r="C49" s="4" t="inlineStr">
        <is>
          <t>Terópodo</t>
        </is>
      </c>
      <c r="D49" s="5" t="inlineStr">
        <is>
          <t>Común</t>
        </is>
      </c>
      <c r="E49" s="6" t="n">
        <v>1</v>
      </c>
      <c r="F49" s="7" t="n">
        <v>1</v>
      </c>
      <c r="G49" s="6">
        <f>IF(F49="","",F49-E49)</f>
        <v/>
      </c>
      <c r="H49" s="7" t="n">
        <v>1</v>
      </c>
      <c r="I49" s="7" t="n">
        <v>1</v>
      </c>
      <c r="J49" s="7" t="n">
        <v>1</v>
      </c>
      <c r="K49" s="8" t="inlineStr">
        <is>
          <t>Sin rasgo</t>
        </is>
      </c>
      <c r="L49" s="9" t="inlineStr">
        <is>
          <t>Todavía no hace nada especial.</t>
        </is>
      </c>
      <c r="M49" s="9" t="inlineStr"/>
    </row>
    <row r="50" ht="30" customHeight="1">
      <c r="A50" s="4" t="inlineStr">
        <is>
          <t>scanisaurus</t>
        </is>
      </c>
      <c r="B50" s="4" t="inlineStr">
        <is>
          <t>Scanisaurus nazarowi</t>
        </is>
      </c>
      <c r="C50" s="4" t="inlineStr">
        <is>
          <t>Reptil marino</t>
        </is>
      </c>
      <c r="D50" s="5" t="inlineStr">
        <is>
          <t>Común</t>
        </is>
      </c>
      <c r="E50" s="6" t="n">
        <v>1</v>
      </c>
      <c r="F50" s="7" t="n">
        <v>1</v>
      </c>
      <c r="G50" s="6">
        <f>IF(F50="","",F50-E50)</f>
        <v/>
      </c>
      <c r="H50" s="7" t="n">
        <v>1</v>
      </c>
      <c r="I50" s="7" t="n">
        <v>1</v>
      </c>
      <c r="J50" s="7" t="n">
        <v>1</v>
      </c>
      <c r="K50" s="8" t="inlineStr">
        <is>
          <t>Sin rasgo</t>
        </is>
      </c>
      <c r="L50" s="9" t="inlineStr">
        <is>
          <t>Todavía no hace nada especial.</t>
        </is>
      </c>
      <c r="M50" s="9" t="inlineStr"/>
    </row>
    <row r="51" ht="30" customHeight="1">
      <c r="A51" s="4" t="inlineStr">
        <is>
          <t>monolophosaurus</t>
        </is>
      </c>
      <c r="B51" s="4" t="inlineStr">
        <is>
          <t>Monolophosaurus jiangi</t>
        </is>
      </c>
      <c r="C51" s="4" t="inlineStr">
        <is>
          <t>Terópodo</t>
        </is>
      </c>
      <c r="D51" s="5" t="inlineStr">
        <is>
          <t>Común</t>
        </is>
      </c>
      <c r="E51" s="6" t="n">
        <v>1</v>
      </c>
      <c r="F51" s="7" t="n">
        <v>1</v>
      </c>
      <c r="G51" s="6">
        <f>IF(F51="","",F51-E51)</f>
        <v/>
      </c>
      <c r="H51" s="7" t="n">
        <v>1</v>
      </c>
      <c r="I51" s="7" t="n">
        <v>1</v>
      </c>
      <c r="J51" s="7" t="n">
        <v>1</v>
      </c>
      <c r="K51" s="8" t="inlineStr">
        <is>
          <t>Sin rasgo</t>
        </is>
      </c>
      <c r="L51" s="9" t="inlineStr">
        <is>
          <t>Todavía no hace nada especial.</t>
        </is>
      </c>
      <c r="M51" s="9" t="inlineStr"/>
    </row>
    <row r="52" ht="30" customHeight="1">
      <c r="A52" s="4" t="inlineStr">
        <is>
          <t>invictarx</t>
        </is>
      </c>
      <c r="B52" s="4" t="inlineStr">
        <is>
          <t>Invictarx zephyri</t>
        </is>
      </c>
      <c r="C52" s="4" t="inlineStr">
        <is>
          <t>Tireóforo</t>
        </is>
      </c>
      <c r="D52" s="5" t="inlineStr">
        <is>
          <t>Común</t>
        </is>
      </c>
      <c r="E52" s="6" t="n">
        <v>1</v>
      </c>
      <c r="F52" s="7" t="n">
        <v>1</v>
      </c>
      <c r="G52" s="6">
        <f>IF(F52="","",F52-E52)</f>
        <v/>
      </c>
      <c r="H52" s="7" t="n">
        <v>1</v>
      </c>
      <c r="I52" s="7" t="n">
        <v>1</v>
      </c>
      <c r="J52" s="7" t="n">
        <v>1</v>
      </c>
      <c r="K52" s="8" t="inlineStr">
        <is>
          <t>Sin rasgo</t>
        </is>
      </c>
      <c r="L52" s="9" t="inlineStr">
        <is>
          <t>Todavía no hace nada especial.</t>
        </is>
      </c>
      <c r="M52" s="9" t="inlineStr"/>
    </row>
    <row r="53" ht="30" customHeight="1">
      <c r="A53" s="4" t="inlineStr">
        <is>
          <t>medusaceratops</t>
        </is>
      </c>
      <c r="B53" s="4" t="inlineStr">
        <is>
          <t>Medusaceratops lokii</t>
        </is>
      </c>
      <c r="C53" s="4" t="inlineStr">
        <is>
          <t>Marginocéfalo</t>
        </is>
      </c>
      <c r="D53" s="5" t="inlineStr">
        <is>
          <t>Común</t>
        </is>
      </c>
      <c r="E53" s="6" t="n">
        <v>1</v>
      </c>
      <c r="F53" s="7" t="n">
        <v>1</v>
      </c>
      <c r="G53" s="6">
        <f>IF(F53="","",F53-E53)</f>
        <v/>
      </c>
      <c r="H53" s="7" t="n">
        <v>1</v>
      </c>
      <c r="I53" s="7" t="n">
        <v>1</v>
      </c>
      <c r="J53" s="7" t="n">
        <v>1</v>
      </c>
      <c r="K53" s="8" t="inlineStr">
        <is>
          <t>Sin rasgo</t>
        </is>
      </c>
      <c r="L53" s="9" t="inlineStr">
        <is>
          <t>Todavía no hace nada especial.</t>
        </is>
      </c>
      <c r="M53" s="9" t="inlineStr"/>
    </row>
    <row r="54" ht="30" customHeight="1">
      <c r="A54" s="4" t="inlineStr">
        <is>
          <t>platyceratops</t>
        </is>
      </c>
      <c r="B54" s="4" t="inlineStr">
        <is>
          <t>Platyceratops tatarinovi</t>
        </is>
      </c>
      <c r="C54" s="4" t="inlineStr">
        <is>
          <t>Marginocéfalo</t>
        </is>
      </c>
      <c r="D54" s="5" t="inlineStr">
        <is>
          <t>Común</t>
        </is>
      </c>
      <c r="E54" s="6" t="n">
        <v>1</v>
      </c>
      <c r="F54" s="7" t="n">
        <v>1</v>
      </c>
      <c r="G54" s="6">
        <f>IF(F54="","",F54-E54)</f>
        <v/>
      </c>
      <c r="H54" s="7" t="n">
        <v>1</v>
      </c>
      <c r="I54" s="7" t="n">
        <v>1</v>
      </c>
      <c r="J54" s="7" t="n">
        <v>1</v>
      </c>
      <c r="K54" s="8" t="inlineStr">
        <is>
          <t>Sin rasgo</t>
        </is>
      </c>
      <c r="L54" s="9" t="inlineStr">
        <is>
          <t>Todavía no hace nada especial.</t>
        </is>
      </c>
      <c r="M54" s="9" t="inlineStr"/>
    </row>
    <row r="55" ht="30" customHeight="1">
      <c r="A55" s="4" t="inlineStr">
        <is>
          <t>loricatosaurus</t>
        </is>
      </c>
      <c r="B55" s="4" t="inlineStr">
        <is>
          <t>Loricatosaurus priscus</t>
        </is>
      </c>
      <c r="C55" s="4" t="inlineStr">
        <is>
          <t>Tireóforo</t>
        </is>
      </c>
      <c r="D55" s="5" t="inlineStr">
        <is>
          <t>Común</t>
        </is>
      </c>
      <c r="E55" s="6" t="n">
        <v>1</v>
      </c>
      <c r="F55" s="7" t="n">
        <v>1</v>
      </c>
      <c r="G55" s="6">
        <f>IF(F55="","",F55-E55)</f>
        <v/>
      </c>
      <c r="H55" s="7" t="n">
        <v>1</v>
      </c>
      <c r="I55" s="7" t="n">
        <v>1</v>
      </c>
      <c r="J55" s="7" t="n">
        <v>1</v>
      </c>
      <c r="K55" s="8" t="inlineStr">
        <is>
          <t>Sin rasgo</t>
        </is>
      </c>
      <c r="L55" s="9" t="inlineStr">
        <is>
          <t>Todavía no hace nada especial.</t>
        </is>
      </c>
      <c r="M55" s="9" t="inlineStr"/>
    </row>
    <row r="56" ht="30" customHeight="1">
      <c r="A56" s="4" t="inlineStr">
        <is>
          <t>therizinosaurus</t>
        </is>
      </c>
      <c r="B56" s="4" t="inlineStr">
        <is>
          <t>Therizinosaurus cheloniformis</t>
        </is>
      </c>
      <c r="C56" s="4" t="inlineStr">
        <is>
          <t>Terópodo</t>
        </is>
      </c>
      <c r="D56" s="5" t="inlineStr">
        <is>
          <t>Común</t>
        </is>
      </c>
      <c r="E56" s="6" t="n">
        <v>1</v>
      </c>
      <c r="F56" s="7" t="n">
        <v>1</v>
      </c>
      <c r="G56" s="6">
        <f>IF(F56="","",F56-E56)</f>
        <v/>
      </c>
      <c r="H56" s="7" t="n">
        <v>1</v>
      </c>
      <c r="I56" s="7" t="n">
        <v>1</v>
      </c>
      <c r="J56" s="7" t="n">
        <v>1</v>
      </c>
      <c r="K56" s="8" t="inlineStr">
        <is>
          <t>Sin rasgo</t>
        </is>
      </c>
      <c r="L56" s="9" t="inlineStr">
        <is>
          <t>Todavía no hace nada especial.</t>
        </is>
      </c>
      <c r="M56" s="9" t="inlineStr"/>
    </row>
    <row r="57" ht="30" customHeight="1">
      <c r="A57" s="4" t="inlineStr">
        <is>
          <t>alaskacephale</t>
        </is>
      </c>
      <c r="B57" s="4" t="inlineStr">
        <is>
          <t>Alaskacephale gangloffi</t>
        </is>
      </c>
      <c r="C57" s="4" t="inlineStr">
        <is>
          <t>Marginocéfalo</t>
        </is>
      </c>
      <c r="D57" s="5" t="inlineStr">
        <is>
          <t>Común</t>
        </is>
      </c>
      <c r="E57" s="6" t="n">
        <v>1</v>
      </c>
      <c r="F57" s="7" t="n">
        <v>1</v>
      </c>
      <c r="G57" s="6">
        <f>IF(F57="","",F57-E57)</f>
        <v/>
      </c>
      <c r="H57" s="7" t="n">
        <v>1</v>
      </c>
      <c r="I57" s="7" t="n">
        <v>1</v>
      </c>
      <c r="J57" s="7" t="n">
        <v>1</v>
      </c>
      <c r="K57" s="8" t="inlineStr">
        <is>
          <t>Sin rasgo</t>
        </is>
      </c>
      <c r="L57" s="9" t="inlineStr">
        <is>
          <t>Todavía no hace nada especial.</t>
        </is>
      </c>
      <c r="M57" s="9" t="inlineStr"/>
    </row>
    <row r="58" ht="30" customHeight="1">
      <c r="A58" s="4" t="inlineStr">
        <is>
          <t>titanoceratops</t>
        </is>
      </c>
      <c r="B58" s="4" t="inlineStr">
        <is>
          <t>Titanoceratops ouranos</t>
        </is>
      </c>
      <c r="C58" s="4" t="inlineStr">
        <is>
          <t>Marginocéfalo</t>
        </is>
      </c>
      <c r="D58" s="5" t="inlineStr">
        <is>
          <t>Común</t>
        </is>
      </c>
      <c r="E58" s="6" t="n">
        <v>1</v>
      </c>
      <c r="F58" s="7" t="n">
        <v>1</v>
      </c>
      <c r="G58" s="6">
        <f>IF(F58="","",F58-E58)</f>
        <v/>
      </c>
      <c r="H58" s="7" t="n">
        <v>1</v>
      </c>
      <c r="I58" s="7" t="n">
        <v>1</v>
      </c>
      <c r="J58" s="7" t="n">
        <v>1</v>
      </c>
      <c r="K58" s="8" t="inlineStr">
        <is>
          <t>Sin rasgo</t>
        </is>
      </c>
      <c r="L58" s="9" t="inlineStr">
        <is>
          <t>Todavía no hace nada especial.</t>
        </is>
      </c>
      <c r="M58" s="9" t="inlineStr"/>
    </row>
    <row r="59" ht="30" customHeight="1">
      <c r="A59" s="4" t="inlineStr">
        <is>
          <t>atlasaurus</t>
        </is>
      </c>
      <c r="B59" s="4" t="inlineStr">
        <is>
          <t>Atlasaurus imelakei</t>
        </is>
      </c>
      <c r="C59" s="4" t="inlineStr">
        <is>
          <t>Saurópodo</t>
        </is>
      </c>
      <c r="D59" s="5" t="inlineStr">
        <is>
          <t>Común</t>
        </is>
      </c>
      <c r="E59" s="6" t="n">
        <v>1</v>
      </c>
      <c r="F59" s="7" t="n">
        <v>1</v>
      </c>
      <c r="G59" s="6">
        <f>IF(F59="","",F59-E59)</f>
        <v/>
      </c>
      <c r="H59" s="7" t="n">
        <v>1</v>
      </c>
      <c r="I59" s="7" t="n">
        <v>1</v>
      </c>
      <c r="J59" s="7" t="n">
        <v>1</v>
      </c>
      <c r="K59" s="8" t="inlineStr">
        <is>
          <t>Sin rasgo</t>
        </is>
      </c>
      <c r="L59" s="9" t="inlineStr">
        <is>
          <t>Todavía no hace nada especial.</t>
        </is>
      </c>
      <c r="M59" s="9" t="inlineStr"/>
    </row>
    <row r="60" ht="30" customHeight="1">
      <c r="A60" s="4" t="inlineStr">
        <is>
          <t>stegoceras</t>
        </is>
      </c>
      <c r="B60" s="4" t="inlineStr">
        <is>
          <t>Stegoceras validum</t>
        </is>
      </c>
      <c r="C60" s="4" t="inlineStr">
        <is>
          <t>Marginocéfalo</t>
        </is>
      </c>
      <c r="D60" s="5" t="inlineStr">
        <is>
          <t>Común</t>
        </is>
      </c>
      <c r="E60" s="6" t="n">
        <v>1</v>
      </c>
      <c r="F60" s="7" t="n">
        <v>1</v>
      </c>
      <c r="G60" s="6">
        <f>IF(F60="","",F60-E60)</f>
        <v/>
      </c>
      <c r="H60" s="7" t="n">
        <v>1</v>
      </c>
      <c r="I60" s="7" t="n">
        <v>1</v>
      </c>
      <c r="J60" s="7" t="n">
        <v>1</v>
      </c>
      <c r="K60" s="8" t="inlineStr">
        <is>
          <t>Sin rasgo</t>
        </is>
      </c>
      <c r="L60" s="9" t="inlineStr">
        <is>
          <t>Todavía no hace nada especial.</t>
        </is>
      </c>
      <c r="M60" s="9" t="inlineStr"/>
    </row>
    <row r="61" ht="30" customHeight="1">
      <c r="A61" s="4" t="inlineStr">
        <is>
          <t>maiasaura</t>
        </is>
      </c>
      <c r="B61" s="4" t="inlineStr">
        <is>
          <t>Maiasaura peeblesorum</t>
        </is>
      </c>
      <c r="C61" s="4" t="inlineStr">
        <is>
          <t>Ornitópodo</t>
        </is>
      </c>
      <c r="D61" s="5" t="inlineStr">
        <is>
          <t>Común</t>
        </is>
      </c>
      <c r="E61" s="6" t="n">
        <v>1</v>
      </c>
      <c r="F61" s="7" t="n">
        <v>1</v>
      </c>
      <c r="G61" s="6">
        <f>IF(F61="","",F61-E61)</f>
        <v/>
      </c>
      <c r="H61" s="7" t="n">
        <v>1</v>
      </c>
      <c r="I61" s="7" t="n">
        <v>1</v>
      </c>
      <c r="J61" s="7" t="n">
        <v>1</v>
      </c>
      <c r="K61" s="8" t="inlineStr">
        <is>
          <t>Sin rasgo</t>
        </is>
      </c>
      <c r="L61" s="9" t="inlineStr">
        <is>
          <t>Todavía no hace nada especial.</t>
        </is>
      </c>
      <c r="M61" s="9" t="inlineStr"/>
    </row>
    <row r="62" ht="30" customHeight="1">
      <c r="A62" s="4" t="inlineStr">
        <is>
          <t>edmontosaurus</t>
        </is>
      </c>
      <c r="B62" s="4" t="inlineStr">
        <is>
          <t>Edmontosaurus annectens</t>
        </is>
      </c>
      <c r="C62" s="4" t="inlineStr">
        <is>
          <t>Ornitópodo</t>
        </is>
      </c>
      <c r="D62" s="5" t="inlineStr">
        <is>
          <t>Común</t>
        </is>
      </c>
      <c r="E62" s="6" t="n">
        <v>1</v>
      </c>
      <c r="F62" s="7" t="n">
        <v>1</v>
      </c>
      <c r="G62" s="6">
        <f>IF(F62="","",F62-E62)</f>
        <v/>
      </c>
      <c r="H62" s="7" t="n">
        <v>1</v>
      </c>
      <c r="I62" s="7" t="n">
        <v>1</v>
      </c>
      <c r="J62" s="7" t="n">
        <v>1</v>
      </c>
      <c r="K62" s="8" t="inlineStr">
        <is>
          <t>Sin rasgo</t>
        </is>
      </c>
      <c r="L62" s="9" t="inlineStr">
        <is>
          <t>Todavía no hace nada especial.</t>
        </is>
      </c>
      <c r="M62" s="9" t="inlineStr"/>
    </row>
    <row r="63" ht="30" customHeight="1">
      <c r="A63" s="4" t="inlineStr">
        <is>
          <t>plateosauravus</t>
        </is>
      </c>
      <c r="B63" s="4" t="inlineStr">
        <is>
          <t>Plateosauravus cullingworthi</t>
        </is>
      </c>
      <c r="C63" s="4" t="inlineStr">
        <is>
          <t>Saurópodo</t>
        </is>
      </c>
      <c r="D63" s="5" t="inlineStr">
        <is>
          <t>Común</t>
        </is>
      </c>
      <c r="E63" s="6" t="n">
        <v>1</v>
      </c>
      <c r="F63" s="7" t="n">
        <v>1</v>
      </c>
      <c r="G63" s="6">
        <f>IF(F63="","",F63-E63)</f>
        <v/>
      </c>
      <c r="H63" s="7" t="n">
        <v>1</v>
      </c>
      <c r="I63" s="7" t="n">
        <v>1</v>
      </c>
      <c r="J63" s="7" t="n">
        <v>1</v>
      </c>
      <c r="K63" s="8" t="inlineStr">
        <is>
          <t>Sin rasgo</t>
        </is>
      </c>
      <c r="L63" s="9" t="inlineStr">
        <is>
          <t>Todavía no hace nada especial.</t>
        </is>
      </c>
      <c r="M63" s="9" t="inlineStr"/>
    </row>
    <row r="64" ht="30" customHeight="1">
      <c r="A64" s="4" t="inlineStr">
        <is>
          <t>gargoyleosaurus</t>
        </is>
      </c>
      <c r="B64" s="4" t="inlineStr">
        <is>
          <t>Gargoyleosaurus parkpinorum</t>
        </is>
      </c>
      <c r="C64" s="4" t="inlineStr">
        <is>
          <t>Tireóforo</t>
        </is>
      </c>
      <c r="D64" s="5" t="inlineStr">
        <is>
          <t>Común</t>
        </is>
      </c>
      <c r="E64" s="6" t="n">
        <v>1</v>
      </c>
      <c r="F64" s="7" t="n">
        <v>1</v>
      </c>
      <c r="G64" s="6">
        <f>IF(F64="","",F64-E64)</f>
        <v/>
      </c>
      <c r="H64" s="7" t="n">
        <v>1</v>
      </c>
      <c r="I64" s="7" t="n">
        <v>1</v>
      </c>
      <c r="J64" s="7" t="n">
        <v>1</v>
      </c>
      <c r="K64" s="8" t="inlineStr">
        <is>
          <t>Sin rasgo</t>
        </is>
      </c>
      <c r="L64" s="9" t="inlineStr">
        <is>
          <t>Todavía no hace nada especial.</t>
        </is>
      </c>
      <c r="M64" s="9" t="inlineStr"/>
    </row>
    <row r="65" ht="30" customHeight="1">
      <c r="A65" s="4" t="inlineStr">
        <is>
          <t>wendiceratops</t>
        </is>
      </c>
      <c r="B65" s="4" t="inlineStr">
        <is>
          <t>Wendiceratops pinhornensis</t>
        </is>
      </c>
      <c r="C65" s="4" t="inlineStr">
        <is>
          <t>Marginocéfalo</t>
        </is>
      </c>
      <c r="D65" s="5" t="inlineStr">
        <is>
          <t>Común</t>
        </is>
      </c>
      <c r="E65" s="6" t="n">
        <v>1</v>
      </c>
      <c r="F65" s="7" t="n">
        <v>1</v>
      </c>
      <c r="G65" s="6">
        <f>IF(F65="","",F65-E65)</f>
        <v/>
      </c>
      <c r="H65" s="7" t="n">
        <v>1</v>
      </c>
      <c r="I65" s="7" t="n">
        <v>1</v>
      </c>
      <c r="J65" s="7" t="n">
        <v>1</v>
      </c>
      <c r="K65" s="8" t="inlineStr">
        <is>
          <t>Sin rasgo</t>
        </is>
      </c>
      <c r="L65" s="9" t="inlineStr">
        <is>
          <t>Todavía no hace nada especial.</t>
        </is>
      </c>
      <c r="M65" s="9" t="inlineStr"/>
    </row>
    <row r="66" ht="30" customHeight="1">
      <c r="A66" s="4" t="inlineStr">
        <is>
          <t>domeykosaurus</t>
        </is>
      </c>
      <c r="B66" s="4" t="inlineStr">
        <is>
          <t>Domeykosaurus chilensis</t>
        </is>
      </c>
      <c r="C66" s="4" t="inlineStr">
        <is>
          <t>Saurópodo</t>
        </is>
      </c>
      <c r="D66" s="5" t="inlineStr">
        <is>
          <t>Común</t>
        </is>
      </c>
      <c r="E66" s="6" t="n">
        <v>1</v>
      </c>
      <c r="F66" s="7" t="n">
        <v>1</v>
      </c>
      <c r="G66" s="6">
        <f>IF(F66="","",F66-E66)</f>
        <v/>
      </c>
      <c r="H66" s="7" t="n">
        <v>1</v>
      </c>
      <c r="I66" s="7" t="n">
        <v>1</v>
      </c>
      <c r="J66" s="7" t="n">
        <v>1</v>
      </c>
      <c r="K66" s="8" t="inlineStr">
        <is>
          <t>Sin rasgo</t>
        </is>
      </c>
      <c r="L66" s="9" t="inlineStr">
        <is>
          <t>Todavía no hace nada especial.</t>
        </is>
      </c>
      <c r="M66" s="9" t="inlineStr"/>
    </row>
    <row r="67" ht="30" customHeight="1">
      <c r="A67" s="4" t="inlineStr">
        <is>
          <t>antarctosaurus</t>
        </is>
      </c>
      <c r="B67" s="4" t="inlineStr">
        <is>
          <t>Antarctosaurus wichmannianus</t>
        </is>
      </c>
      <c r="C67" s="4" t="inlineStr">
        <is>
          <t>Saurópodo</t>
        </is>
      </c>
      <c r="D67" s="5" t="inlineStr">
        <is>
          <t>Común</t>
        </is>
      </c>
      <c r="E67" s="6" t="n">
        <v>1</v>
      </c>
      <c r="F67" s="7" t="n">
        <v>1</v>
      </c>
      <c r="G67" s="6">
        <f>IF(F67="","",F67-E67)</f>
        <v/>
      </c>
      <c r="H67" s="7" t="n">
        <v>1</v>
      </c>
      <c r="I67" s="7" t="n">
        <v>1</v>
      </c>
      <c r="J67" s="7" t="n">
        <v>1</v>
      </c>
      <c r="K67" s="8" t="inlineStr">
        <is>
          <t>Sin rasgo</t>
        </is>
      </c>
      <c r="L67" s="9" t="inlineStr">
        <is>
          <t>Todavía no hace nada especial.</t>
        </is>
      </c>
      <c r="M67" s="9" t="inlineStr"/>
    </row>
    <row r="68" ht="30" customHeight="1">
      <c r="A68" s="4" t="inlineStr">
        <is>
          <t>liaoceratops</t>
        </is>
      </c>
      <c r="B68" s="4" t="inlineStr">
        <is>
          <t>Liaoceratops yanzigouensis</t>
        </is>
      </c>
      <c r="C68" s="4" t="inlineStr">
        <is>
          <t>Marginocéfalo</t>
        </is>
      </c>
      <c r="D68" s="5" t="inlineStr">
        <is>
          <t>Común</t>
        </is>
      </c>
      <c r="E68" s="6" t="n">
        <v>1</v>
      </c>
      <c r="F68" s="7" t="n">
        <v>1</v>
      </c>
      <c r="G68" s="6">
        <f>IF(F68="","",F68-E68)</f>
        <v/>
      </c>
      <c r="H68" s="7" t="n">
        <v>1</v>
      </c>
      <c r="I68" s="7" t="n">
        <v>1</v>
      </c>
      <c r="J68" s="7" t="n">
        <v>1</v>
      </c>
      <c r="K68" s="8" t="inlineStr">
        <is>
          <t>Sin rasgo</t>
        </is>
      </c>
      <c r="L68" s="9" t="inlineStr">
        <is>
          <t>Todavía no hace nada especial.</t>
        </is>
      </c>
      <c r="M68" s="9" t="inlineStr"/>
    </row>
    <row r="69" ht="30" customHeight="1">
      <c r="A69" s="4" t="inlineStr">
        <is>
          <t>rhinorex</t>
        </is>
      </c>
      <c r="B69" s="4" t="inlineStr">
        <is>
          <t>Rhinorex condrupus</t>
        </is>
      </c>
      <c r="C69" s="4" t="inlineStr">
        <is>
          <t>Ornitópodo</t>
        </is>
      </c>
      <c r="D69" s="5" t="inlineStr">
        <is>
          <t>Común</t>
        </is>
      </c>
      <c r="E69" s="6" t="n">
        <v>1</v>
      </c>
      <c r="F69" s="7" t="n">
        <v>1</v>
      </c>
      <c r="G69" s="6">
        <f>IF(F69="","",F69-E69)</f>
        <v/>
      </c>
      <c r="H69" s="7" t="n">
        <v>1</v>
      </c>
      <c r="I69" s="7" t="n">
        <v>1</v>
      </c>
      <c r="J69" s="7" t="n">
        <v>1</v>
      </c>
      <c r="K69" s="8" t="inlineStr">
        <is>
          <t>Sin rasgo</t>
        </is>
      </c>
      <c r="L69" s="9" t="inlineStr">
        <is>
          <t>Todavía no hace nada especial.</t>
        </is>
      </c>
      <c r="M69" s="9" t="inlineStr"/>
    </row>
    <row r="70" ht="30" customHeight="1">
      <c r="A70" s="4" t="inlineStr">
        <is>
          <t>bienosaurus</t>
        </is>
      </c>
      <c r="B70" s="4" t="inlineStr">
        <is>
          <t>Bienosaurus lufengensis</t>
        </is>
      </c>
      <c r="C70" s="4" t="inlineStr">
        <is>
          <t>Tireóforo</t>
        </is>
      </c>
      <c r="D70" s="5" t="inlineStr">
        <is>
          <t>Común</t>
        </is>
      </c>
      <c r="E70" s="6" t="n">
        <v>1</v>
      </c>
      <c r="F70" s="7" t="n">
        <v>1</v>
      </c>
      <c r="G70" s="6">
        <f>IF(F70="","",F70-E70)</f>
        <v/>
      </c>
      <c r="H70" s="7" t="n">
        <v>1</v>
      </c>
      <c r="I70" s="7" t="n">
        <v>1</v>
      </c>
      <c r="J70" s="7" t="n">
        <v>1</v>
      </c>
      <c r="K70" s="8" t="inlineStr">
        <is>
          <t>Sin rasgo</t>
        </is>
      </c>
      <c r="L70" s="9" t="inlineStr">
        <is>
          <t>Todavía no hace nada especial.</t>
        </is>
      </c>
      <c r="M70" s="9" t="inlineStr"/>
    </row>
    <row r="71" ht="30" customHeight="1">
      <c r="A71" s="4" t="inlineStr">
        <is>
          <t>shuangmiaosaurus</t>
        </is>
      </c>
      <c r="B71" s="4" t="inlineStr">
        <is>
          <t>Shuangmiaosaurus gilmorei</t>
        </is>
      </c>
      <c r="C71" s="4" t="inlineStr">
        <is>
          <t>Ornitópodo</t>
        </is>
      </c>
      <c r="D71" s="5" t="inlineStr">
        <is>
          <t>Común</t>
        </is>
      </c>
      <c r="E71" s="6" t="n">
        <v>1</v>
      </c>
      <c r="F71" s="7" t="n">
        <v>1</v>
      </c>
      <c r="G71" s="6">
        <f>IF(F71="","",F71-E71)</f>
        <v/>
      </c>
      <c r="H71" s="7" t="n">
        <v>1</v>
      </c>
      <c r="I71" s="7" t="n">
        <v>1</v>
      </c>
      <c r="J71" s="7" t="n">
        <v>1</v>
      </c>
      <c r="K71" s="8" t="inlineStr">
        <is>
          <t>Sin rasgo</t>
        </is>
      </c>
      <c r="L71" s="9" t="inlineStr">
        <is>
          <t>Todavía no hace nada especial.</t>
        </is>
      </c>
      <c r="M71" s="9" t="inlineStr"/>
    </row>
    <row r="72" ht="30" customHeight="1">
      <c r="A72" s="4" t="inlineStr">
        <is>
          <t>chasmosaurus</t>
        </is>
      </c>
      <c r="B72" s="4" t="inlineStr">
        <is>
          <t>Chasmosaurus belli</t>
        </is>
      </c>
      <c r="C72" s="4" t="inlineStr">
        <is>
          <t>Marginocéfalo</t>
        </is>
      </c>
      <c r="D72" s="5" t="inlineStr">
        <is>
          <t>Común</t>
        </is>
      </c>
      <c r="E72" s="6" t="n">
        <v>1</v>
      </c>
      <c r="F72" s="7" t="n">
        <v>1</v>
      </c>
      <c r="G72" s="6">
        <f>IF(F72="","",F72-E72)</f>
        <v/>
      </c>
      <c r="H72" s="7" t="n">
        <v>1</v>
      </c>
      <c r="I72" s="7" t="n">
        <v>1</v>
      </c>
      <c r="J72" s="7" t="n">
        <v>1</v>
      </c>
      <c r="K72" s="8" t="inlineStr">
        <is>
          <t>Sin rasgo</t>
        </is>
      </c>
      <c r="L72" s="9" t="inlineStr">
        <is>
          <t>Todavía no hace nada especial.</t>
        </is>
      </c>
      <c r="M72" s="9" t="inlineStr"/>
    </row>
  </sheetData>
  <autoFilter ref="A5:L72"/>
  <mergeCells count="2">
    <mergeCell ref="A3:L3"/>
    <mergeCell ref="A2:L2"/>
  </mergeCells>
  <dataValidations count="3">
    <dataValidation sqref="F6:F72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72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72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0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0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**1 de Biomasa por turno acumulativa**, con un tope de</t>
        </is>
      </c>
    </row>
    <row r="40">
      <c r="A40" s="2" t="inlineStr">
        <is>
          <t>12 de ahorro. Eso da un presupuesto de unas doce Biomasas por</t>
        </is>
      </c>
    </row>
    <row r="41">
      <c r="A41" s="2" t="inlineStr">
        <is>
          <t>partida de once turnos, que es la escala que tienen que respetar los costes: hoy</t>
        </is>
      </c>
    </row>
    <row r="42">
      <c r="A42" s="2" t="inlineStr">
        <is>
          <t>van de 0 a 3 y el gasto medido es de 12,1 en 10,8 cartas por bando.</t>
        </is>
      </c>
    </row>
    <row r="43">
      <c r="A43" s="2" t="inlineStr"/>
    </row>
    <row r="44">
      <c r="A44" s="2" t="inlineStr">
        <is>
          <t>Cambiar la **rareza** mueve tres cosas a la vez: cuántas copias caben en un mazo</t>
        </is>
      </c>
    </row>
    <row r="45">
      <c r="A45" s="2" t="inlineStr">
        <is>
          <t>(3 común y rara, 2 épica, 1 legendaria), cada cuánto sale la carta en un sobre</t>
        </is>
      </c>
    </row>
    <row r="46">
      <c r="A46" s="2" t="inlineStr">
        <is>
          <t>—las probabilidades salen de la forma del set, así que mover una carta reajusta</t>
        </is>
      </c>
    </row>
    <row r="47">
      <c r="A47" s="2" t="inlineStr">
        <is>
          <t>la tabla entera— y lo que da al fundirla.</t>
        </is>
      </c>
    </row>
    <row r="48">
      <c r="A48" s="2" t="inlineStr"/>
    </row>
    <row r="49">
      <c r="A49" s="10" t="inlineStr">
        <is>
          <t>## Lo que hay que mirar después</t>
        </is>
      </c>
    </row>
    <row r="50">
      <c r="A50" s="2" t="inlineStr"/>
    </row>
    <row r="51">
      <c r="A51" s="2" t="inlineStr">
        <is>
          <t>Al aplicar, `aplicar` comprueba que el mazo de referencia siga siendo legal y</t>
        </is>
      </c>
    </row>
    <row r="52">
      <c r="A52" s="2" t="inlineStr">
        <is>
          <t>que no se quede ninguna rareza vacía; si algo falla no escribe nada. Después hay</t>
        </is>
      </c>
    </row>
    <row r="53">
      <c r="A53" s="2" t="inlineStr">
        <is>
          <t>que correr `npm test` y `npm run sim`: los seis objetivos del balance salen de</t>
        </is>
      </c>
    </row>
    <row r="54">
      <c r="A54" s="2" t="inlineStr">
        <is>
          <t>estos números, y el que hoy falla —cartas descalibradas— es justo el que esta</t>
        </is>
      </c>
    </row>
    <row r="55">
      <c r="A55" s="2" t="inlineStr">
        <is>
          <t>revisión viene a arreglar.</t>
        </is>
      </c>
    </row>
    <row r="56">
      <c r="A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2026-09-08T22:53:58Z</dcterms:created>
  <dcterms:modified xsi:type="dcterms:W3CDTF">2026-09-08T22:53:58Z</dcterms:modified>
</cp:coreProperties>
</file>